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Inputs" sheetId="1" state="visible" r:id="rId1"/>
    <sheet xmlns:r="http://schemas.openxmlformats.org/officeDocument/2006/relationships" name="Monthly Cost Model" sheetId="2" state="visible" r:id="rId2"/>
    <sheet xmlns:r="http://schemas.openxmlformats.org/officeDocument/2006/relationships" name="SLO Workbook" sheetId="3" state="visible" r:id="rId3"/>
    <sheet xmlns:r="http://schemas.openxmlformats.org/officeDocument/2006/relationships" name="Architecture Decisions" sheetId="4" state="visible" r:id="rId4"/>
  </sheets>
  <definedNames>
    <definedName name="_xlnm._FilterDatabase" localSheetId="0" hidden="1">'Scenario Inputs'!$A$1:$I$4</definedName>
    <definedName name="_xlnm._FilterDatabase" localSheetId="1" hidden="1">'Monthly Cost Model'!$A$1:$K$4</definedName>
    <definedName name="_xlnm._FilterDatabase" localSheetId="2" hidden="1">'SLO Workbook'!$A$1:$H$4</definedName>
    <definedName name="_xlnm._FilterDatabase" localSheetId="3" hidden="1">'Architecture Decisions'!$A$1:$F$6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25" customWidth="1" min="4" max="4"/>
    <col width="15" customWidth="1" min="5" max="5"/>
    <col width="15" customWidth="1" min="6" max="6"/>
    <col width="16" customWidth="1" min="7" max="7"/>
    <col width="38" customWidth="1" min="8" max="8"/>
    <col width="37" customWidth="1" min="9" max="9"/>
  </cols>
  <sheetData>
    <row r="1" ht="32" customHeight="1">
      <c r="A1" s="1" t="inlineStr">
        <is>
          <t>Scenario</t>
        </is>
      </c>
      <c r="B1" s="1" t="inlineStr">
        <is>
          <t>Monthly budget (INR)</t>
        </is>
      </c>
      <c r="C1" s="1" t="inlineStr">
        <is>
          <t>Availability target (%)</t>
        </is>
      </c>
      <c r="D1" s="1" t="inlineStr">
        <is>
          <t>P95 latency target (ms)</t>
        </is>
      </c>
      <c r="E1" s="1" t="inlineStr">
        <is>
          <t>RPO (minutes)</t>
        </is>
      </c>
      <c r="F1" s="1" t="inlineStr">
        <is>
          <t>RTO (minutes)</t>
        </is>
      </c>
      <c r="G1" s="1" t="inlineStr">
        <is>
          <t>Expected users</t>
        </is>
      </c>
      <c r="H1" s="1" t="inlineStr">
        <is>
          <t>Architecture notes</t>
        </is>
      </c>
      <c r="I1" s="1" t="inlineStr">
        <is>
          <t>Trade-off</t>
        </is>
      </c>
    </row>
    <row r="2">
      <c r="A2" s="2" t="inlineStr">
        <is>
          <t>Lean</t>
        </is>
      </c>
      <c r="B2" s="2" t="n">
        <v>2500</v>
      </c>
      <c r="C2" s="2" t="n">
        <v>99</v>
      </c>
      <c r="D2" s="2" t="n">
        <v>800</v>
      </c>
      <c r="E2" s="2" t="n">
        <v>1440</v>
      </c>
      <c r="F2" s="2" t="n">
        <v>240</v>
      </c>
      <c r="G2" s="2" t="n">
        <v>500</v>
      </c>
      <c r="H2" s="2" t="inlineStr">
        <is>
          <t>Single region minimal managed services</t>
        </is>
      </c>
      <c r="I2" s="2" t="inlineStr">
        <is>
          <t>Lowest cost with slower recovery</t>
        </is>
      </c>
    </row>
    <row r="3">
      <c r="A3" s="3" t="inlineStr">
        <is>
          <t>Balanced</t>
        </is>
      </c>
      <c r="B3" s="3" t="n">
        <v>8000</v>
      </c>
      <c r="C3" s="3" t="n">
        <v>99.5</v>
      </c>
      <c r="D3" s="3" t="n">
        <v>500</v>
      </c>
      <c r="E3" s="3" t="n">
        <v>60</v>
      </c>
      <c r="F3" s="3" t="n">
        <v>60</v>
      </c>
      <c r="G3" s="3" t="n">
        <v>5000</v>
      </c>
      <c r="H3" s="3" t="inlineStr">
        <is>
          <t>Managed database plus autoscaling application tier</t>
        </is>
      </c>
      <c r="I3" s="3" t="inlineStr">
        <is>
          <t>Balanced reliability and cost</t>
        </is>
      </c>
    </row>
    <row r="4">
      <c r="A4" s="2" t="inlineStr">
        <is>
          <t>Resilient</t>
        </is>
      </c>
      <c r="B4" s="2" t="n">
        <v>25000</v>
      </c>
      <c r="C4" s="2" t="n">
        <v>99.90000000000001</v>
      </c>
      <c r="D4" s="2" t="n">
        <v>300</v>
      </c>
      <c r="E4" s="2" t="n">
        <v>15</v>
      </c>
      <c r="F4" s="2" t="n">
        <v>30</v>
      </c>
      <c r="G4" s="2" t="n">
        <v>25000</v>
      </c>
      <c r="H4" s="2" t="inlineStr">
        <is>
          <t>Multi-zone services with tested backups</t>
        </is>
      </c>
      <c r="I4" s="2" t="inlineStr">
        <is>
          <t>Higher cost for stronger continuity</t>
        </is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5" customWidth="1" min="5" max="5"/>
    <col width="20" customWidth="1" min="6" max="6"/>
    <col width="14" customWidth="1" min="7" max="7"/>
    <col width="20" customWidth="1" min="8" max="8"/>
    <col width="17" customWidth="1" min="9" max="9"/>
    <col width="17" customWidth="1" min="10" max="10"/>
    <col width="38" customWidth="1" min="11" max="11"/>
  </cols>
  <sheetData>
    <row r="1" ht="32" customHeight="1">
      <c r="A1" s="1" t="inlineStr">
        <is>
          <t>Scenario</t>
        </is>
      </c>
      <c r="B1" s="1" t="inlineStr">
        <is>
          <t>Budget (INR/month)</t>
        </is>
      </c>
      <c r="C1" s="1" t="inlineStr">
        <is>
          <t>Compute</t>
        </is>
      </c>
      <c r="D1" s="1" t="inlineStr">
        <is>
          <t>Storage</t>
        </is>
      </c>
      <c r="E1" s="1" t="inlineStr">
        <is>
          <t>Data transfer</t>
        </is>
      </c>
      <c r="F1" s="1" t="inlineStr">
        <is>
          <t>Logging/monitoring</t>
        </is>
      </c>
      <c r="G1" s="1" t="inlineStr">
        <is>
          <t>Backup</t>
        </is>
      </c>
      <c r="H1" s="1" t="inlineStr">
        <is>
          <t>Support/operations</t>
        </is>
      </c>
      <c r="I1" s="1" t="inlineStr">
        <is>
          <t>Estimated total</t>
        </is>
      </c>
      <c r="J1" s="1" t="inlineStr">
        <is>
          <t>Budget headroom</t>
        </is>
      </c>
      <c r="K1" s="1" t="inlineStr">
        <is>
          <t>Assumption</t>
        </is>
      </c>
    </row>
    <row r="2">
      <c r="A2" s="2" t="inlineStr">
        <is>
          <t>Lean</t>
        </is>
      </c>
      <c r="B2" s="2" t="n">
        <v>2500</v>
      </c>
      <c r="C2" s="2" t="n">
        <v>800</v>
      </c>
      <c r="D2" s="2" t="n">
        <v>150</v>
      </c>
      <c r="E2" s="2" t="n">
        <v>250</v>
      </c>
      <c r="F2" s="2" t="n">
        <v>200</v>
      </c>
      <c r="G2" s="2" t="n">
        <v>100</v>
      </c>
      <c r="H2" s="2" t="n">
        <v>1000</v>
      </c>
      <c r="I2" s="2">
        <f>SUM(C2:H2)</f>
        <v/>
      </c>
      <c r="J2" s="2">
        <f>B2-I2</f>
        <v/>
      </c>
      <c r="K2" s="2" t="inlineStr">
        <is>
          <t>Illustrative planning estimate; validate with AWS Pricing Calculator and actual region/usage.</t>
        </is>
      </c>
    </row>
    <row r="3">
      <c r="A3" s="3" t="inlineStr">
        <is>
          <t>Balanced</t>
        </is>
      </c>
      <c r="B3" s="3" t="n">
        <v>8000</v>
      </c>
      <c r="C3" s="3" t="n">
        <v>2500</v>
      </c>
      <c r="D3" s="3" t="n">
        <v>650</v>
      </c>
      <c r="E3" s="3" t="n">
        <v>900</v>
      </c>
      <c r="F3" s="3" t="n">
        <v>650</v>
      </c>
      <c r="G3" s="3" t="n">
        <v>500</v>
      </c>
      <c r="H3" s="3" t="n">
        <v>2800</v>
      </c>
      <c r="I3" s="3">
        <f>SUM(C3:H3)</f>
        <v/>
      </c>
      <c r="J3" s="3">
        <f>B3-I3</f>
        <v/>
      </c>
      <c r="K3" s="3" t="inlineStr">
        <is>
          <t>Illustrative planning estimate; validate with AWS Pricing Calculator and actual region/usage.</t>
        </is>
      </c>
    </row>
    <row r="4">
      <c r="A4" s="2" t="inlineStr">
        <is>
          <t>Resilient</t>
        </is>
      </c>
      <c r="B4" s="2" t="n">
        <v>25000</v>
      </c>
      <c r="C4" s="2" t="n">
        <v>7000</v>
      </c>
      <c r="D4" s="2" t="n">
        <v>2200</v>
      </c>
      <c r="E4" s="2" t="n">
        <v>3500</v>
      </c>
      <c r="F4" s="2" t="n">
        <v>1800</v>
      </c>
      <c r="G4" s="2" t="n">
        <v>1800</v>
      </c>
      <c r="H4" s="2" t="n">
        <v>8700</v>
      </c>
      <c r="I4" s="2">
        <f>SUM(C4:H4)</f>
        <v/>
      </c>
      <c r="J4" s="2">
        <f>B4-I4</f>
        <v/>
      </c>
      <c r="K4" s="2" t="inlineStr">
        <is>
          <t>Illustrative planning estimate; validate with AWS Pricing Calculator and actual region/usage.</t>
        </is>
      </c>
    </row>
  </sheetData>
  <autoFilter ref="A1:K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22" customWidth="1" min="4" max="4"/>
    <col width="38" customWidth="1" min="5" max="5"/>
    <col width="38" customWidth="1" min="6" max="6"/>
    <col width="38" customWidth="1" min="7" max="7"/>
    <col width="33" customWidth="1" min="8" max="8"/>
  </cols>
  <sheetData>
    <row r="1" ht="32" customHeight="1">
      <c r="A1" s="1" t="inlineStr">
        <is>
          <t>Scenario</t>
        </is>
      </c>
      <c r="B1" s="1" t="inlineStr">
        <is>
          <t>Availability SLO (%)</t>
        </is>
      </c>
      <c r="C1" s="1" t="inlineStr">
        <is>
          <t>Monthly downtime budget (minutes, 30-day month)</t>
        </is>
      </c>
      <c r="D1" s="1" t="inlineStr">
        <is>
          <t>Latency SLO (p95 ms)</t>
        </is>
      </c>
      <c r="E1" s="1" t="inlineStr">
        <is>
          <t>Latency SLI definition</t>
        </is>
      </c>
      <c r="F1" s="1" t="inlineStr">
        <is>
          <t>Availability SLI definition</t>
        </is>
      </c>
      <c r="G1" s="1" t="inlineStr">
        <is>
          <t>Paging threshold (suggested)</t>
        </is>
      </c>
      <c r="H1" s="1" t="inlineStr">
        <is>
          <t>Error budget (monthly, minutes)</t>
        </is>
      </c>
    </row>
    <row r="2">
      <c r="A2" s="2" t="inlineStr">
        <is>
          <t>Lean</t>
        </is>
      </c>
      <c r="B2" s="2" t="n">
        <v>99</v>
      </c>
      <c r="C2" s="2">
        <f>(1-B2/100)*43200</f>
        <v/>
      </c>
      <c r="D2" s="2" t="n">
        <v>800</v>
      </c>
      <c r="E2" s="2" t="inlineStr">
        <is>
          <t>Percentage of valid requests completing within the scenario's p95 target</t>
        </is>
      </c>
      <c r="F2" s="2" t="inlineStr">
        <is>
          <t>Successful eligible HTTP requests / all eligible HTTP requests × 100</t>
        </is>
      </c>
      <c r="G2" s="2" t="inlineStr">
        <is>
          <t>Page on 5xx &gt; 5% for 5 minutes OR availability burn rate &gt; 2x for 10 minutes</t>
        </is>
      </c>
      <c r="H2" s="2">
        <f>C2</f>
        <v/>
      </c>
    </row>
    <row r="3">
      <c r="A3" s="3" t="inlineStr">
        <is>
          <t>Balanced</t>
        </is>
      </c>
      <c r="B3" s="3" t="n">
        <v>99.5</v>
      </c>
      <c r="C3" s="3">
        <f>(1-B3/100)*43200</f>
        <v/>
      </c>
      <c r="D3" s="3" t="n">
        <v>500</v>
      </c>
      <c r="E3" s="3" t="inlineStr">
        <is>
          <t>Percentage of valid requests completing within the scenario's p95 target</t>
        </is>
      </c>
      <c r="F3" s="3" t="inlineStr">
        <is>
          <t>Successful eligible HTTP requests / all eligible HTTP requests × 100</t>
        </is>
      </c>
      <c r="G3" s="3" t="inlineStr">
        <is>
          <t>Page on 5xx &gt; 5% for 5 minutes OR availability burn rate &gt; 2x for 10 minutes</t>
        </is>
      </c>
      <c r="H3" s="3">
        <f>C3</f>
        <v/>
      </c>
    </row>
    <row r="4">
      <c r="A4" s="2" t="inlineStr">
        <is>
          <t>Resilient</t>
        </is>
      </c>
      <c r="B4" s="2" t="n">
        <v>99.90000000000001</v>
      </c>
      <c r="C4" s="2">
        <f>(1-B4/100)*43200</f>
        <v/>
      </c>
      <c r="D4" s="2" t="n">
        <v>300</v>
      </c>
      <c r="E4" s="2" t="inlineStr">
        <is>
          <t>Percentage of valid requests completing within the scenario's p95 target</t>
        </is>
      </c>
      <c r="F4" s="2" t="inlineStr">
        <is>
          <t>Successful eligible HTTP requests / all eligible HTTP requests × 100</t>
        </is>
      </c>
      <c r="G4" s="2" t="inlineStr">
        <is>
          <t>Page on 5xx &gt; 5% for 5 minutes OR availability burn rate &gt; 2x for 10 minutes</t>
        </is>
      </c>
      <c r="H4" s="2">
        <f>C4</f>
        <v/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2" t="inlineStr">
        <is>
          <t>Notes</t>
        </is>
      </c>
      <c r="B6" s="2" t="inlineStr">
        <is>
          <t>SLI = measured indicator; SLO = target; error budget = allowed unreliability in the measurement window.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Caution</t>
        </is>
      </c>
      <c r="B7" s="3" t="inlineStr">
        <is>
          <t>Suggested paging rules are design proposals; tune after observing real traffic and alert noise.</t>
        </is>
      </c>
      <c r="C7" s="3" t="n"/>
      <c r="D7" s="3" t="n"/>
      <c r="E7" s="3" t="n"/>
      <c r="F7" s="3" t="n"/>
      <c r="G7" s="3" t="n"/>
      <c r="H7" s="3" t="n"/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 ht="32" customHeight="1">
      <c r="A1" s="1" t="inlineStr">
        <is>
          <t>ADR ID</t>
        </is>
      </c>
      <c r="B1" s="1" t="inlineStr">
        <is>
          <t>Decision area</t>
        </is>
      </c>
      <c r="C1" s="1" t="inlineStr">
        <is>
          <t>Proposed decision</t>
        </is>
      </c>
      <c r="D1" s="1" t="inlineStr">
        <is>
          <t>Reason</t>
        </is>
      </c>
      <c r="E1" s="1" t="inlineStr">
        <is>
          <t>Risks / trade-offs</t>
        </is>
      </c>
      <c r="F1" s="1" t="inlineStr">
        <is>
          <t>Review trigger</t>
        </is>
      </c>
    </row>
    <row r="2">
      <c r="A2" s="2" t="inlineStr">
        <is>
          <t>ADR-001</t>
        </is>
      </c>
      <c r="B2" s="2" t="inlineStr">
        <is>
          <t>Region</t>
        </is>
      </c>
      <c r="C2" s="2" t="inlineStr">
        <is>
          <t>Choose one AWS Region close to the primary users; use multiple Availability Zones for Balanced/Resilient where budget permits.</t>
        </is>
      </c>
      <c r="D2" s="2" t="inlineStr">
        <is>
          <t>Lower latency and clearer operational ownership; multi-AZ reduces single-zone risk.</t>
        </is>
      </c>
      <c r="E2" s="2" t="inlineStr">
        <is>
          <t>A single Region does not protect against a Region-wide outage; multi-AZ costs more.</t>
        </is>
      </c>
      <c r="F2" s="2" t="inlineStr">
        <is>
          <t>User geography changes, regional outage requirements, or cost review.</t>
        </is>
      </c>
    </row>
    <row r="3">
      <c r="A3" s="3" t="inlineStr">
        <is>
          <t>ADR-002</t>
        </is>
      </c>
      <c r="B3" s="3" t="inlineStr">
        <is>
          <t>Recovery objectives</t>
        </is>
      </c>
      <c r="C3" s="3" t="inlineStr">
        <is>
          <t>Use the supplied RPO/RTO by scenario; document backup frequency and test restores against those targets.</t>
        </is>
      </c>
      <c r="D3" s="3" t="inlineStr">
        <is>
          <t>Makes data-loss and restoration expectations explicit.</t>
        </is>
      </c>
      <c r="E3" s="3" t="inlineStr">
        <is>
          <t>A target is not proven until recovery tests pass; tighter RPO/RTO increases cost and complexity.</t>
        </is>
      </c>
      <c r="F3" s="3" t="inlineStr">
        <is>
          <t>After recovery test, major architecture change, or missed target.</t>
        </is>
      </c>
    </row>
    <row r="4">
      <c r="A4" s="2" t="inlineStr">
        <is>
          <t>ADR-003</t>
        </is>
      </c>
      <c r="B4" s="2" t="inlineStr">
        <is>
          <t>Secrets</t>
        </is>
      </c>
      <c r="C4" s="2" t="inlineStr">
        <is>
          <t>Store credentials in AWS Secrets Manager or Systems Manager Parameter Store; never hard-code secrets in source code or images.</t>
        </is>
      </c>
      <c r="D4" s="2" t="inlineStr">
        <is>
          <t>Centralized access, rotation options, and auditability.</t>
        </is>
      </c>
      <c r="E4" s="2" t="inlineStr">
        <is>
          <t>Managed secret storage can add recurring cost and configuration work.</t>
        </is>
      </c>
      <c r="F4" s="2" t="inlineStr">
        <is>
          <t>Secret exposure, rotation requirement, or service change.</t>
        </is>
      </c>
    </row>
    <row r="5">
      <c r="A5" s="3" t="inlineStr">
        <is>
          <t>ADR-004</t>
        </is>
      </c>
      <c r="B5" s="3" t="inlineStr">
        <is>
          <t>Least privilege</t>
        </is>
      </c>
      <c r="C5" s="3" t="inlineStr">
        <is>
          <t>Use IAM roles for workloads and narrowly scoped IAM policies; avoid long-lived access keys and broad wildcards.</t>
        </is>
      </c>
      <c r="D5" s="3" t="inlineStr">
        <is>
          <t>Reduces blast radius and follows least-privilege practice.</t>
        </is>
      </c>
      <c r="E5" s="3" t="inlineStr">
        <is>
          <t>Policies need maintenance as application needs evolve.</t>
        </is>
      </c>
      <c r="F5" s="3" t="inlineStr">
        <is>
          <t>New service/API permissions or security review.</t>
        </is>
      </c>
    </row>
    <row r="6">
      <c r="A6" s="2" t="inlineStr">
        <is>
          <t>ADR-005</t>
        </is>
      </c>
      <c r="B6" s="2" t="inlineStr">
        <is>
          <t>Deployment</t>
        </is>
      </c>
      <c r="C6" s="2" t="inlineStr">
        <is>
          <t>Use staged deployment, health checks, rollback procedure, and a change log; avoid deployments when the error budget is nearly exhausted.</t>
        </is>
      </c>
      <c r="D6" s="2" t="inlineStr">
        <is>
          <t>Limits change-related incidents and supports recovery.</t>
        </is>
      </c>
      <c r="E6" s="2" t="inlineStr">
        <is>
          <t>Adds process overhead for a small service.</t>
        </is>
      </c>
      <c r="F6" s="2" t="inlineStr">
        <is>
          <t>Repeated deployment incidents or SLO burn.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2026-10-12T18:04:15Z</dcterms:created>
  <dcterms:modified xmlns:dcterms="http://purl.org/dc/terms/" xmlns:xsi="http://www.w3.org/2001/XMLSchema-instance" xsi:type="dcterms:W3CDTF">2026-10-12T18:04:15Z</dcterms:modified>
</cp:coreProperties>
</file>